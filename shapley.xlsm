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15a2a8153d814fb8/Desktop/Zambrano Research/shapley/"/>
    </mc:Choice>
  </mc:AlternateContent>
  <xr:revisionPtr revIDLastSave="1712" documentId="13_ncr:1_{585874A5-EA51-4639-9D59-BEE92B69C405}" xr6:coauthVersionLast="47" xr6:coauthVersionMax="47" xr10:uidLastSave="{AFCC5547-0872-4D12-968B-BBE55499F37F}"/>
  <bookViews>
    <workbookView xWindow="-105" yWindow="870" windowWidth="28800" windowHeight="15345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coals">
          <x14:argumentDescriptions count="1">
            <x14:argumentDescription index="0">Positional argument 1</x14:argumentDescription>
          </x14:argumentDescriptions>
        </x14:definedName>
        <x14:definedName name="divbuild">
          <x14:argumentDescriptions count="1">
            <x14:argumentDescription index="0">Positional argument 1</x14:argumentDescription>
          </x14:argumentDescriptions>
        </x14:definedName>
        <x14:definedName name="excelbuild">
          <x14:argumentDescriptions count="1">
            <x14:argumentDescription index="0">Positional argument 1</x14:argumentDescription>
          </x14:argumentDescriptions>
        </x14:definedName>
        <x14:definedName name="get_rev">
          <x14:argumentDescriptions count="1">
            <x14:argumentDescription index="0">Positional argument 1</x14:argumentDescription>
          </x14:argumentDescriptions>
        </x14:definedName>
        <x14:definedName name="myfunction">
          <x14:argumentDescriptions count="1">
            <x14:argumentDescription index="0">Positional argument 1</x14:argumentDescription>
          </x14:argumentDescriptions>
        </x14:definedName>
        <x14:definedName name="orcosts">
          <x14:argumentDescriptions count="1">
            <x14:argumentDescription index="0">Positional argument 1</x14:argumentDescription>
          </x14:argumentDescriptions>
        </x14:definedName>
        <x14:definedName name="revbuild">
          <x14:argumentDescriptions count="1">
            <x14:argumentDescription index="0">Positional argument 1</x14:argumentDescription>
          </x14:argumentDescriptions>
        </x14:definedName>
        <x14:definedName name="twostageshaple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5" i="1" l="1" a="1"/>
  <c r="B15" i="1"/>
  <c r="C9" i="1" a="1"/>
  <c r="C9" i="1"/>
  <c r="C5" i="1" a="1"/>
  <c r="C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<sst xmlns="http://schemas.openxmlformats.org/spreadsheetml/2006/main" count="20" uniqueCount="20">
  <si>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</si>
  <si>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</si>
  <si>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</si>
  <si>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</si>
  <si>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</si>
  <si>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</si>
  <si>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</si>
  <si>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</si>
  <si>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</si>
  <si>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</si>
  <si>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</si>
  <si>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</si>
  <si>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</si>
  <si>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</si>
  <si>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</si>
  <si>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Divisions</t>
  </si>
  <si>
    <t>Solution:</t>
  </si>
  <si>
    <t>Revenue (Ri)</t>
  </si>
  <si>
    <t>Direct Coalition Costs (C)</t>
  </si>
  <si>
    <t>"And Costs"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</si>
</sst>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  <xf numFmtId="2" fontId="1" fillId="2" borderId="0" xfId="0" applyNumberFormat="1" applyFon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1" xfId="0" applyNumberFormat="1" applyFill="1" applyBorder="1" applyAlignment="1">
      <alignment horizont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W30"/>
  <sheetViews>
    <sheetView tabSelected="1" zoomScaleNormal="100" workbookViewId="0">
      <selection activeCell="H12" sqref="H12"/>
    </sheetView>
  </sheetViews>
  <sheetFormatPr defaultColWidth="11" defaultRowHeight="15.75" x14ac:dyDescent="0.25"/>
  <cols>
    <col min="2" max="2" width="30.75" customWidth="1"/>
    <col min="3" max="3" width="17.625" customWidth="1"/>
  </cols>
  <sheetData>
    <row r="2" spans="2:257" x14ac:dyDescent="0.25">
      <c r="B2" s="3"/>
      <c r="C2" s="3" t="s">
        <v>15</v>
      </c>
      <c r="D2" s="3"/>
      <c r="E2" s="3"/>
      <c r="F2" s="3"/>
      <c r="G2" s="3"/>
      <c r="H2" s="3"/>
      <c r="I2" s="3"/>
      <c r="J2" s="3"/>
    </row>
    <row r="3" spans="2:257" x14ac:dyDescent="0.25">
      <c r="B3" s="3"/>
      <c r="C3" s="6">
        <v>5</v>
      </c>
      <c r="D3" s="3"/>
      <c r="E3" s="3"/>
      <c r="F3" s="3"/>
      <c r="G3" s="3"/>
      <c r="H3" s="3"/>
      <c r="I3" s="3"/>
      <c r="J3" s="3"/>
    </row>
    <row r="4" spans="2:257" x14ac:dyDescent="0.25">
      <c r="B4" s="3"/>
      <c r="C4" s="3"/>
      <c r="D4" s="3"/>
      <c r="E4" s="3"/>
      <c r="F4" s="3"/>
      <c r="G4" s="3"/>
      <c r="H4" s="3"/>
      <c r="I4" s="3"/>
      <c r="J4" s="3"/>
    </row>
    <row r="5" spans="2:257" x14ac:dyDescent="0.25">
      <c r="B5" s="3"/>
      <c r="C5" s="3" t="str" cm="1">
        <f t="array" ref="C5:G5">IF(C3 = "", "Input Number of Divisions",divbuild(C3))</f>
        <v>Division 1</v>
      </c>
      <c r="D5" s="3" t="str">
        <v>Division 2</v>
      </c>
      <c r="E5" s="3" t="str">
        <v>Division 3</v>
      </c>
      <c r="F5" s="3" t="str">
        <v>Division 4</v>
      </c>
      <c r="G5" s="3" t="str">
        <v>Division 5</v>
      </c>
      <c r="H5" s="3"/>
      <c r="I5" s="3"/>
      <c r="J5" s="3"/>
    </row>
    <row r="6" spans="2:257" x14ac:dyDescent="0.25">
      <c r="B6" s="5" t="s">
        <v>17</v>
      </c>
      <c r="C6" s="7">
        <v>100</v>
      </c>
      <c r="D6" s="3">
        <v>100</v>
      </c>
      <c r="E6" s="3">
        <v>100</v>
      </c>
      <c r="F6" s="3">
        <v>1000</v>
      </c>
      <c r="G6" s="3">
        <v>100</v>
      </c>
      <c r="H6" s="3"/>
      <c r="I6" s="3"/>
      <c r="J6" s="3"/>
    </row>
    <row r="7" spans="2:257" x14ac:dyDescent="0.25">
      <c r="B7" s="3"/>
      <c r="C7" s="3"/>
      <c r="D7" s="3"/>
      <c r="E7" s="3"/>
      <c r="F7" s="3"/>
      <c r="G7" s="3"/>
      <c r="H7" s="3"/>
      <c r="I7" s="3"/>
      <c r="J7" s="3"/>
    </row>
    <row r="8" spans="2:257" x14ac:dyDescent="0.25">
      <c r="B8" s="3"/>
      <c r="C8" s="3"/>
      <c r="D8" s="3"/>
      <c r="E8" s="3"/>
      <c r="F8" s="3"/>
      <c r="G8" s="3"/>
      <c r="H8" s="3"/>
      <c r="I8" s="3"/>
      <c r="J8" s="3"/>
    </row>
    <row r="9" spans="2:257" x14ac:dyDescent="0.25">
      <c r="B9" s="3"/>
      <c r="C9" s="3" t="str" cm="1">
        <f t="array" ref="C9:AG9">IF(C3 = "", "Input Number of Divisions",coals(C3))</f>
        <v>(1,)</v>
      </c>
      <c r="D9" s="3" t="str">
        <v>(2,)</v>
      </c>
      <c r="E9" s="3" t="str">
        <v>(3,)</v>
      </c>
      <c r="F9" s="3" t="str">
        <v>(4,)</v>
      </c>
      <c r="G9" s="3" t="str">
        <v>(5,)</v>
      </c>
      <c r="H9" s="3" t="str">
        <v>(1, 2)</v>
      </c>
      <c r="I9" s="3" t="str">
        <v>(1, 3)</v>
      </c>
      <c r="J9" s="3" t="str">
        <v>(1, 4)</v>
      </c>
      <c r="K9" t="str">
        <v>(1, 5)</v>
      </c>
      <c r="L9" t="str">
        <v>(2, 3)</v>
      </c>
      <c r="M9" t="str">
        <v>(2, 4)</v>
      </c>
      <c r="N9" t="str">
        <v>(2, 5)</v>
      </c>
      <c r="O9" t="str">
        <v>(3, 4)</v>
      </c>
      <c r="P9" t="str">
        <v>(3, 5)</v>
      </c>
      <c r="Q9" t="str">
        <v>(4, 5)</v>
      </c>
      <c r="R9" t="str">
        <v>(1, 2, 3)</v>
      </c>
      <c r="S9" t="str">
        <v>(1, 2, 4)</v>
      </c>
      <c r="T9" t="str">
        <v>(1, 2, 5)</v>
      </c>
      <c r="U9" t="str">
        <v>(1, 3, 4)</v>
      </c>
      <c r="V9" t="str">
        <v>(1, 3, 5)</v>
      </c>
      <c r="W9" t="str">
        <v>(1, 4, 5)</v>
      </c>
      <c r="X9" t="str">
        <v>(2, 3, 4)</v>
      </c>
      <c r="Y9" t="str">
        <v>(2, 3, 5)</v>
      </c>
      <c r="Z9" t="str">
        <v>(2, 4, 5)</v>
      </c>
      <c r="AA9" t="str">
        <v>(3, 4, 5)</v>
      </c>
      <c r="AB9" t="str">
        <v>(1, 2, 3, 4)</v>
      </c>
      <c r="AC9" t="str">
        <v>(1, 2, 3, 5)</v>
      </c>
      <c r="AD9" t="str">
        <v>(1, 2, 4, 5)</v>
      </c>
      <c r="AE9" t="str">
        <v>(1, 3, 4, 5)</v>
      </c>
      <c r="AF9" t="str">
        <v>(2, 3, 4, 5)</v>
      </c>
      <c r="AG9" t="str">
        <v>(1, 2, 3, 4, 5)</v>
      </c>
    </row>
    <row r="10" spans="2:257" x14ac:dyDescent="0.25">
      <c r="B10" s="5" t="s">
        <v>18</v>
      </c>
      <c r="C10" s="3">
        <v>10</v>
      </c>
      <c r="D10" s="3">
        <v>10</v>
      </c>
      <c r="E10" s="3">
        <v>10</v>
      </c>
      <c r="F10" s="3">
        <v>10</v>
      </c>
      <c r="G10" s="3">
        <v>10</v>
      </c>
      <c r="H10" s="3">
        <v>10</v>
      </c>
      <c r="I10" s="3">
        <v>10</v>
      </c>
      <c r="J10" s="3">
        <v>10</v>
      </c>
      <c r="K10" s="3">
        <v>10</v>
      </c>
      <c r="L10" s="3">
        <v>10</v>
      </c>
      <c r="M10" s="3">
        <v>10</v>
      </c>
      <c r="N10" s="3">
        <v>10</v>
      </c>
      <c r="O10" s="3">
        <v>10</v>
      </c>
      <c r="P10" s="3">
        <v>10</v>
      </c>
      <c r="Q10" s="3">
        <v>10</v>
      </c>
      <c r="R10" s="3">
        <v>10</v>
      </c>
      <c r="S10" s="3">
        <v>10</v>
      </c>
      <c r="T10" s="3">
        <v>10</v>
      </c>
      <c r="U10" s="3">
        <v>10</v>
      </c>
      <c r="V10" s="3">
        <v>10</v>
      </c>
      <c r="W10" s="3">
        <v>10</v>
      </c>
      <c r="X10" s="3">
        <v>10</v>
      </c>
      <c r="Y10" s="3">
        <v>10</v>
      </c>
      <c r="Z10" s="3">
        <v>10</v>
      </c>
      <c r="AA10" s="3">
        <v>10</v>
      </c>
      <c r="AB10" s="3">
        <v>10</v>
      </c>
      <c r="AC10" s="3">
        <v>10</v>
      </c>
      <c r="AD10" s="3">
        <v>10</v>
      </c>
      <c r="AE10" s="3">
        <v>10</v>
      </c>
      <c r="AF10" s="3">
        <v>10</v>
      </c>
      <c r="AG10" s="3">
        <v>10</v>
      </c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</row>
    <row r="11" spans="2:257" x14ac:dyDescent="0.25">
      <c r="B11" s="5" t="s">
        <v>19</v>
      </c>
      <c r="C11" s="3"/>
      <c r="D11" s="3"/>
      <c r="E11" s="3"/>
      <c r="F11" s="3"/>
      <c r="G11" s="3"/>
      <c r="H11" s="3">
        <v>10</v>
      </c>
      <c r="I11" s="3">
        <v>10</v>
      </c>
      <c r="J11" s="3">
        <v>10</v>
      </c>
      <c r="K11" s="3">
        <v>10</v>
      </c>
      <c r="L11" s="3">
        <v>10</v>
      </c>
      <c r="M11" s="3">
        <v>10</v>
      </c>
      <c r="N11" s="3">
        <v>10</v>
      </c>
      <c r="O11" s="3">
        <v>10</v>
      </c>
      <c r="P11" s="3">
        <v>10</v>
      </c>
      <c r="Q11" s="3">
        <v>10</v>
      </c>
      <c r="R11" s="3">
        <v>10</v>
      </c>
      <c r="S11" s="3">
        <v>10</v>
      </c>
      <c r="T11" s="3">
        <v>10</v>
      </c>
      <c r="U11" s="3">
        <v>10</v>
      </c>
      <c r="V11" s="3">
        <v>10</v>
      </c>
      <c r="W11" s="3">
        <v>10</v>
      </c>
      <c r="X11" s="3">
        <v>10</v>
      </c>
      <c r="Y11" s="3">
        <v>10</v>
      </c>
      <c r="Z11" s="3">
        <v>10</v>
      </c>
      <c r="AA11" s="3">
        <v>10</v>
      </c>
      <c r="AB11" s="3">
        <v>10</v>
      </c>
      <c r="AC11" s="3">
        <v>10</v>
      </c>
      <c r="AD11" s="3">
        <v>10</v>
      </c>
      <c r="AE11" s="3">
        <v>10</v>
      </c>
      <c r="AF11" s="3">
        <v>10</v>
      </c>
      <c r="AG11" s="3">
        <v>10</v>
      </c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</row>
    <row r="12" spans="2:257" x14ac:dyDescent="0.25">
      <c r="B12" s="3"/>
      <c r="C12" s="3"/>
      <c r="D12" s="3"/>
      <c r="E12" s="3"/>
      <c r="F12" s="3"/>
      <c r="G12" s="3"/>
      <c r="H12" s="3"/>
      <c r="I12" s="3"/>
      <c r="J12" s="3"/>
    </row>
    <row r="13" spans="2:257" x14ac:dyDescent="0.25">
      <c r="B13" s="3"/>
      <c r="C13" s="3"/>
      <c r="D13" s="3"/>
      <c r="E13" s="3"/>
      <c r="F13" s="3"/>
      <c r="G13" s="3"/>
      <c r="H13" s="3"/>
      <c r="I13" s="3"/>
      <c r="J13" s="3"/>
    </row>
    <row r="14" spans="2:257" x14ac:dyDescent="0.25">
      <c r="B14" s="8" t="s">
        <v>16</v>
      </c>
      <c r="C14" s="9"/>
      <c r="D14" s="9"/>
      <c r="E14" s="9"/>
      <c r="F14" s="9"/>
      <c r="G14" s="10"/>
      <c r="H14" s="10"/>
      <c r="I14" s="10"/>
      <c r="J14" s="10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</row>
    <row r="15" spans="2:257" x14ac:dyDescent="0.25">
      <c r="B15" s="9" t="str" cm="1">
        <f t="array" ref="B15:H19">IF(NOT(SUMPRODUCT(--(C6:L6&lt;&gt;""))=0),IF(C3=2,twostageshapley(C6:D6,C10:E10,E11),IF(C3=3,twostageshapley(C6:E6,C10:I10,F11:I11),IF(C3=4,twostageshapley(C6:F6,C10:Q10,G11:Q11),IF(C3=5,twostageshapley(C6:G6,C10:AG10,H11:AG11),IF(C3=6,twostageshapley(C6:H6,C10:BM10,I11:BM11),IF(C3=7,twostageshapley(C6:I6,C10:DY10,J11:DY11),IF(C3=8,twostageshapley(C6:J6,C10:IW10,K11:IW11),"Manually Input Revenue, Costs, And Costs into UDF"))))))),"Fill in Inputs")</f>
        <v/>
      </c>
      <c r="C15" s="9" t="str">
        <v>Division 1</v>
      </c>
      <c r="D15" s="9" t="str">
        <v>Division 2</v>
      </c>
      <c r="E15" s="9" t="str">
        <v>Division 3</v>
      </c>
      <c r="F15" s="9" t="str">
        <v>Division 4</v>
      </c>
      <c r="G15" s="10" t="str">
        <v>Division 5</v>
      </c>
      <c r="H15" s="10" t="str">
        <v>Total</v>
      </c>
      <c r="I15" s="10"/>
      <c r="J15" s="10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</row>
    <row r="16" spans="2:257" x14ac:dyDescent="0.25">
      <c r="B16" s="12" t="str">
        <v>1st Stage Vals</v>
      </c>
      <c r="C16" s="9">
        <v>5</v>
      </c>
      <c r="D16" s="9">
        <v>5</v>
      </c>
      <c r="E16" s="9">
        <v>5</v>
      </c>
      <c r="F16" s="9">
        <v>870</v>
      </c>
      <c r="G16" s="10">
        <v>5</v>
      </c>
      <c r="H16" s="10">
        <v>890</v>
      </c>
      <c r="I16" s="10"/>
      <c r="J16" s="10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</row>
    <row r="17" spans="2:21" x14ac:dyDescent="0.25">
      <c r="B17" s="12" t="str">
        <v>2nd Stage Vals</v>
      </c>
      <c r="C17" s="9">
        <v>0</v>
      </c>
      <c r="D17" s="9">
        <v>0</v>
      </c>
      <c r="E17" s="9">
        <v>0</v>
      </c>
      <c r="F17" s="9">
        <v>0</v>
      </c>
      <c r="G17" s="10">
        <v>0</v>
      </c>
      <c r="H17" s="10">
        <v>0</v>
      </c>
      <c r="I17" s="10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</row>
    <row r="18" spans="2:21" x14ac:dyDescent="0.25">
      <c r="B18" s="12" t="str">
        <v>Overhead Shares</v>
      </c>
      <c r="C18" s="9">
        <v>85</v>
      </c>
      <c r="D18" s="9">
        <v>85</v>
      </c>
      <c r="E18" s="9">
        <v>85</v>
      </c>
      <c r="F18" s="9">
        <v>120.00000000000011</v>
      </c>
      <c r="G18" s="10">
        <v>85</v>
      </c>
      <c r="H18" s="10">
        <v>460.00000000000011</v>
      </c>
      <c r="I18" s="10"/>
      <c r="J18" s="10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2:21" x14ac:dyDescent="0.25">
      <c r="B19" s="12" t="str">
        <v>Profit Shares</v>
      </c>
      <c r="C19" s="9">
        <v>5</v>
      </c>
      <c r="D19" s="9">
        <v>5</v>
      </c>
      <c r="E19" s="9">
        <v>5</v>
      </c>
      <c r="F19" s="9">
        <v>869.99999999999989</v>
      </c>
      <c r="G19" s="10">
        <v>5</v>
      </c>
      <c r="H19" s="10">
        <v>889.99999999999989</v>
      </c>
      <c r="I19" s="10"/>
      <c r="J19" s="10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2:21" x14ac:dyDescent="0.25">
      <c r="B20" s="3"/>
      <c r="C20" s="3"/>
      <c r="D20" s="3"/>
      <c r="E20" s="3"/>
      <c r="F20" s="3"/>
      <c r="G20" s="3"/>
      <c r="H20" s="3"/>
      <c r="I20" s="3"/>
      <c r="J20" s="3"/>
    </row>
    <row r="21" spans="2:21" x14ac:dyDescent="0.25">
      <c r="B21" s="13"/>
      <c r="C21" s="3"/>
      <c r="D21" s="3"/>
      <c r="E21" s="3"/>
      <c r="F21" s="3"/>
      <c r="G21" s="3"/>
      <c r="H21" s="3"/>
      <c r="I21" s="3"/>
      <c r="J21" s="3"/>
    </row>
    <row r="25" spans="2:21" x14ac:dyDescent="0.25">
      <c r="B25" s="4"/>
    </row>
    <row r="26" spans="2:21" x14ac:dyDescent="0.25">
      <c r="B26" s="4"/>
    </row>
    <row r="27" spans="2:21" x14ac:dyDescent="0.25">
      <c r="B27" s="4"/>
    </row>
    <row r="28" spans="2:21" x14ac:dyDescent="0.25">
      <c r="B28" s="4"/>
    </row>
    <row r="29" spans="2:21" x14ac:dyDescent="0.25">
      <c r="B29" s="4"/>
    </row>
    <row r="30" spans="2:21" x14ac:dyDescent="0.25">
      <c r="B30" s="4"/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6" sqref="B6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Noah Meyer</cp:lastModifiedBy>
  <dcterms:created xsi:type="dcterms:W3CDTF">2015-01-25T11:31:25Z</dcterms:created>
  <dcterms:modified xsi:type="dcterms:W3CDTF">2022-02-25T01:05:49Z</dcterms:modified>
</cp:coreProperties>
</file>